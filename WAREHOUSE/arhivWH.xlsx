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s\OneDrive\Рабочий стол\WAREHOUSE\"/>
    </mc:Choice>
  </mc:AlternateContent>
  <xr:revisionPtr revIDLastSave="0" documentId="13_ncr:1_{4FD63A82-DACA-4C28-8946-792C52F6109F}" xr6:coauthVersionLast="47" xr6:coauthVersionMax="47" xr10:uidLastSave="{00000000-0000-0000-0000-000000000000}"/>
  <bookViews>
    <workbookView xWindow="-120" yWindow="-120" windowWidth="29040" windowHeight="15840" activeTab="1" xr2:uid="{12FA338A-552A-4786-B95B-1E6352FFD78D}"/>
  </bookViews>
  <sheets>
    <sheet name="ТОВАРЫ" sheetId="1" r:id="rId1"/>
    <sheet name="ЗАКАЗЫ" sheetId="2" r:id="rId2"/>
    <sheet name="СОСТАВ ЗАКАЗОВ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</calcChain>
</file>

<file path=xl/sharedStrings.xml><?xml version="1.0" encoding="utf-8"?>
<sst xmlns="http://schemas.openxmlformats.org/spreadsheetml/2006/main" count="35" uniqueCount="31">
  <si>
    <t>ЯЧЕЙКА</t>
  </si>
  <si>
    <t>НАЗВАНИЕ</t>
  </si>
  <si>
    <t>РАЗМЕР</t>
  </si>
  <si>
    <t>КАТЕГОРИЯ</t>
  </si>
  <si>
    <t>ОПИСАНИЕ</t>
  </si>
  <si>
    <t>ЦЕНА</t>
  </si>
  <si>
    <t>ФОТО</t>
  </si>
  <si>
    <t>СТАТУС</t>
  </si>
  <si>
    <t>ПОЛУЧЕНИЕ</t>
  </si>
  <si>
    <t>СПОСОБ ОПЛАТЫ</t>
  </si>
  <si>
    <t>АДРЕСС</t>
  </si>
  <si>
    <t>ДАТА</t>
  </si>
  <si>
    <t>ID заказа</t>
  </si>
  <si>
    <t>ID товара</t>
  </si>
  <si>
    <t>КОМЕНТАРИЙ</t>
  </si>
  <si>
    <t>ФИО</t>
  </si>
  <si>
    <t>ДЛИНА/ШИРИНА</t>
  </si>
  <si>
    <t>Скрыт</t>
  </si>
  <si>
    <t>Не указан</t>
  </si>
  <si>
    <t>A1</t>
  </si>
  <si>
    <t>Тест</t>
  </si>
  <si>
    <t>0000</t>
  </si>
  <si>
    <t>00 / 00</t>
  </si>
  <si>
    <t>ШАБЛОН ОПИСАНИЯ</t>
  </si>
  <si>
    <t>Состояние: Особенности: Дефекты: Примечания:</t>
  </si>
  <si>
    <t>ID телеграмма</t>
  </si>
  <si>
    <t>USERNAME</t>
  </si>
  <si>
    <t>ТЕЛЕФОН</t>
  </si>
  <si>
    <t>СУММА</t>
  </si>
  <si>
    <t>-</t>
  </si>
  <si>
    <t xml:space="preserve">ID заказа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</si>
</sst>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_-* #,##0.00\ [$₽-419]_-;\-* #,##0.00\ [$₽-419]_-;_-* &quot;-&quot;??\ [$₽-419]_-;_-@_-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7">
    <dxf>
      <numFmt numFmtId="164" formatCode="#,##0.00\ &quot;₽&quot;"/>
    </dxf>
    <dxf>
      <alignment horizontal="general" vertical="bottom" textRotation="0" wrapText="1" indent="0" justifyLastLine="0" shrinkToFit="0" readingOrder="0"/>
    </dxf>
    <dxf>
      <numFmt numFmtId="164" formatCode="#,##0.00\ &quot;₽&quot;"/>
    </dxf>
    <dxf>
      <numFmt numFmtId="0" formatCode="General"/>
    </dxf>
    <dxf>
      <numFmt numFmtId="19" formatCode="dd/mm/yyyy"/>
    </dxf>
    <dxf>
      <numFmt numFmtId="165" formatCode="_-* #,##0.00\ [$₽-419]_-;\-* #,##0.00\ [$₽-419]_-;_-* &quot;-&quot;??\ [$₽-419]_-;_-@_-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3FC3F8-34AB-4BDC-A428-2F8338082908}" name="Таблица6" displayName="Таблица6" ref="A1:J37" totalsRowShown="0">
  <autoFilter ref="A1:J37" xr:uid="{943FC3F8-34AB-4BDC-A428-2F8338082908}"/>
  <tableColumns count="10">
    <tableColumn id="1" xr3:uid="{BD6150F8-7B34-42E1-9D53-080BE84E9A37}" name="0000" dataDxfId="3">
      <calculatedColumnFormula>IF(B2="","",TEXT(ROW()-1,"0000" ))</calculatedColumnFormula>
    </tableColumn>
    <tableColumn id="2" xr3:uid="{6AAFDE14-0AB4-4773-B7B7-43B39792DD41}" name="ЯЧЕЙКА"/>
    <tableColumn id="3" xr3:uid="{F085140E-56B2-413D-A73F-A82DE7C91EE2}" name="НАЗВАНИЕ"/>
    <tableColumn id="4" xr3:uid="{BBB193A1-299C-46DB-976C-ADA77FE1BF67}" name="КАТЕГОРИЯ"/>
    <tableColumn id="5" xr3:uid="{B52EAD3A-7639-48A5-A633-FD3978C99D24}" name="РАЗМЕР"/>
    <tableColumn id="6" xr3:uid="{AB2C1843-7D6C-48CB-853B-61F6D322DBCF}" name="ДЛИНА/ШИРИНА"/>
    <tableColumn id="7" xr3:uid="{C168F705-FAED-499E-BCB3-66950DFB8FCC}" name="ОПИСАНИЕ"/>
    <tableColumn id="8" xr3:uid="{EE9478C8-9AE5-4CED-9113-1E3CDC42247C}" name="ЦЕНА" dataDxfId="2"/>
    <tableColumn id="9" xr3:uid="{56264C32-C4CE-4398-95DF-D74DC31C3B19}" name="ФОТО" dataDxfId="1"/>
    <tableColumn id="10" xr3:uid="{78FBAE52-C9D3-4869-B623-F1BBC19E0E6F}" name="СТАТУС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73734A-72F8-45FE-ABBB-F43ADF1325FA}" name="Таблица8" displayName="Таблица8" ref="A1:L3" totalsRowShown="0" headerRowDxfId="6">
  <autoFilter ref="A1:L3" xr:uid="{DF73734A-72F8-45FE-ABBB-F43ADF1325FA}"/>
  <tableColumns count="12">
    <tableColumn id="1" xr3:uid="{B3792EE8-3624-4A66-BBEC-40DD42D01D54}" name="ID заказа">
      <calculatedColumnFormula>IF(B2="","",TEXT(ROW()-1,"0000" ))</calculatedColumnFormula>
    </tableColumn>
    <tableColumn id="2" xr3:uid="{43CB5046-7282-48CD-ACC5-B679F5FB7319}" name="ID телеграмма"/>
    <tableColumn id="3" xr3:uid="{B88735F5-5035-42A8-B230-D82BCB0803A6}" name="USERNAME"/>
    <tableColumn id="4" xr3:uid="{89D66C17-2480-4DBD-815B-C33D3F052FDA}" name="ФИО"/>
    <tableColumn id="5" xr3:uid="{7A85084F-F888-4AD9-AB57-612798E161A0}" name="ТЕЛЕФОН"/>
    <tableColumn id="6" xr3:uid="{38049612-ED7C-41CA-8793-EA66BAC305E2}" name="ПОЛУЧЕНИЕ"/>
    <tableColumn id="7" xr3:uid="{BD125F25-B58F-432E-83EB-8F12B33F3062}" name="АДРЕСС"/>
    <tableColumn id="8" xr3:uid="{12D2B02F-B4D2-4A3C-86E7-A632DE0AF26D}" name="СПОСОБ ОПЛАТЫ"/>
    <tableColumn id="9" xr3:uid="{A35BFCA6-49B1-4D34-8269-0AB2DB6A1237}" name="СУММА" dataDxfId="5">
      <calculatedColumnFormula>SUMIF('СОСТАВ ЗАКАЗОВ'!A:A,A2,'СОСТАВ ЗАКАЗОВ'!C:C)</calculatedColumnFormula>
    </tableColumn>
    <tableColumn id="10" xr3:uid="{63982F4B-AA80-4326-B44D-E316E251EBF2}" name="ДАТА" dataDxfId="4"/>
    <tableColumn id="11" xr3:uid="{0B57BEB0-2897-4EAD-870F-ACBE0077B3D6}" name="КОМЕНТАРИЙ"/>
    <tableColumn id="12" xr3:uid="{AB3FA83A-9D57-43F3-97D9-E39E22B0FC33}" name="СТАТУС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5FC595-7FB0-4AB6-AAD2-A53B55E89C40}" name="Таблица7" displayName="Таблица7" ref="A1:C3" totalsRowShown="0">
  <autoFilter ref="A1:C3" xr:uid="{4F5FC595-7FB0-4AB6-AAD2-A53B55E89C40}"/>
  <tableColumns count="3">
    <tableColumn id="1" xr3:uid="{DA5CAF31-05E7-499E-AACB-60F263681133}" name="ID заказа "/>
    <tableColumn id="2" xr3:uid="{CFCE84AA-FA54-4A1B-B7D2-5DB64E360906}" name="ID товара"/>
    <tableColumn id="3" xr3:uid="{60169DC8-8DCD-4005-BAAC-D17D447017C3}" name="ЦЕНА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6783-8088-4EC1-B0FD-D687FFFB1AD1}">
  <dimension ref="A1:J37"/>
  <sheetViews>
    <sheetView workbookViewId="0">
      <selection activeCell="B2" sqref="B2"/>
    </sheetView>
  </sheetViews>
  <sheetFormatPr defaultRowHeight="15" x14ac:dyDescent="0.25"/>
  <cols>
    <col min="1" max="1" width="14.5703125" customWidth="1"/>
    <col min="2" max="2" width="10.5703125" customWidth="1"/>
    <col min="3" max="3" width="15.5703125" customWidth="1"/>
    <col min="4" max="4" width="13.7109375" customWidth="1"/>
    <col min="5" max="5" width="13.5703125" customWidth="1"/>
    <col min="6" max="6" width="16.7109375" customWidth="1"/>
    <col min="7" max="7" width="21" customWidth="1"/>
    <col min="8" max="8" width="12.5703125" style="2" customWidth="1"/>
    <col min="9" max="9" width="19.5703125" style="1" customWidth="1"/>
    <col min="10" max="10" width="18.140625" customWidth="1"/>
  </cols>
  <sheetData>
    <row r="1" spans="1:10" x14ac:dyDescent="0.25">
      <c r="A1" t="s">
        <v>21</v>
      </c>
      <c r="B1" t="s">
        <v>0</v>
      </c>
      <c r="C1" t="s">
        <v>1</v>
      </c>
      <c r="D1" t="s">
        <v>3</v>
      </c>
      <c r="E1" t="s">
        <v>2</v>
      </c>
      <c r="F1" t="s">
        <v>16</v>
      </c>
      <c r="G1" t="s">
        <v>4</v>
      </c>
      <c r="H1" s="2" t="s">
        <v>5</v>
      </c>
      <c r="I1" s="1" t="s">
        <v>6</v>
      </c>
      <c r="J1" t="s">
        <v>7</v>
      </c>
    </row>
    <row r="2" spans="1:10" x14ac:dyDescent="0.25">
      <c r="A2" t="str">
        <f t="shared" ref="A2:A37" si="0">IF(B2="","",TEXT(ROW()-1,"0000" ))</f>
        <v>0001</v>
      </c>
      <c r="B2" t="s">
        <v>19</v>
      </c>
      <c r="C2" t="s">
        <v>20</v>
      </c>
      <c r="D2" t="s">
        <v>20</v>
      </c>
      <c r="E2" t="s">
        <v>18</v>
      </c>
      <c r="F2" t="s">
        <v>22</v>
      </c>
      <c r="G2" t="s">
        <v>20</v>
      </c>
      <c r="H2" s="2">
        <v>0</v>
      </c>
      <c r="J2" t="s">
        <v>17</v>
      </c>
    </row>
    <row r="3" spans="1:10" x14ac:dyDescent="0.25">
      <c r="A3" t="str">
        <f t="shared" si="0"/>
        <v/>
      </c>
    </row>
    <row r="4" spans="1:10" x14ac:dyDescent="0.25">
      <c r="A4" t="str">
        <f t="shared" si="0"/>
        <v/>
      </c>
    </row>
    <row r="5" spans="1:10" x14ac:dyDescent="0.25">
      <c r="A5" t="str">
        <f t="shared" si="0"/>
        <v/>
      </c>
    </row>
    <row r="6" spans="1:10" x14ac:dyDescent="0.25">
      <c r="A6" t="str">
        <f t="shared" si="0"/>
        <v/>
      </c>
    </row>
    <row r="7" spans="1:10" x14ac:dyDescent="0.25">
      <c r="A7" t="str">
        <f t="shared" si="0"/>
        <v/>
      </c>
    </row>
    <row r="8" spans="1:10" x14ac:dyDescent="0.25">
      <c r="A8" t="str">
        <f t="shared" si="0"/>
        <v/>
      </c>
    </row>
    <row r="9" spans="1:10" x14ac:dyDescent="0.25">
      <c r="A9" t="str">
        <f t="shared" si="0"/>
        <v/>
      </c>
    </row>
    <row r="10" spans="1:10" x14ac:dyDescent="0.25">
      <c r="A10" t="str">
        <f t="shared" si="0"/>
        <v/>
      </c>
    </row>
    <row r="11" spans="1:10" x14ac:dyDescent="0.25">
      <c r="A11" t="str">
        <f t="shared" si="0"/>
        <v/>
      </c>
    </row>
    <row r="12" spans="1:10" x14ac:dyDescent="0.25">
      <c r="A12" t="str">
        <f t="shared" si="0"/>
        <v/>
      </c>
    </row>
    <row r="13" spans="1:10" x14ac:dyDescent="0.25">
      <c r="A13" t="str">
        <f t="shared" si="0"/>
        <v/>
      </c>
    </row>
    <row r="14" spans="1:10" x14ac:dyDescent="0.25">
      <c r="A14" t="str">
        <f t="shared" si="0"/>
        <v/>
      </c>
    </row>
    <row r="15" spans="1:10" x14ac:dyDescent="0.25">
      <c r="A15" t="str">
        <f t="shared" si="0"/>
        <v/>
      </c>
    </row>
    <row r="16" spans="1:10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si="0"/>
        <v/>
      </c>
    </row>
    <row r="35" spans="1:1" x14ac:dyDescent="0.25">
      <c r="A35" t="str">
        <f t="shared" si="0"/>
        <v/>
      </c>
    </row>
    <row r="36" spans="1:1" x14ac:dyDescent="0.25">
      <c r="A36" t="str">
        <f t="shared" si="0"/>
        <v/>
      </c>
    </row>
    <row r="37" spans="1:1" x14ac:dyDescent="0.25">
      <c r="A37" t="str">
        <f t="shared" si="0"/>
        <v/>
      </c>
    </row>
  </sheetData>
  <dataValidations count="3">
    <dataValidation type="list" allowBlank="1" showInputMessage="1" showErrorMessage="1" sqref="J1:J1048576" xr:uid="{F144319F-738F-4C05-B811-7965CDE250B3}">
      <formula1>"В наличии, Забронирован, Продан, Скрыт"</formula1>
    </dataValidation>
    <dataValidation type="list" allowBlank="1" showInputMessage="1" showErrorMessage="1" sqref="B1:B1048576" xr:uid="{390FC8FB-DCF8-48FC-9750-706F452817E9}">
      <formula1>"A1, B1, C1, D1, E1, A2, B2, C2, D2, E2, A3, B3, C3, D3, E3, A4, B4, C4, D4, E4, A5, B5, C5, D5, E5"</formula1>
    </dataValidation>
    <dataValidation type="list" allowBlank="1" showInputMessage="1" showErrorMessage="1" sqref="E1:E1048576" xr:uid="{4293AEF1-E643-4108-A989-795C59264EAF}">
      <formula1>"XXS, XS, S, M, L, XL, XXL, XXXL, One Size, Не указан"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0D42-DE60-4ED4-B0E1-C7F983EA9C98}">
  <dimension ref="A1:L3"/>
  <sheetViews>
    <sheetView tabSelected="1" workbookViewId="0">
      <selection activeCell="I3" sqref="I3"/>
    </sheetView>
  </sheetViews>
  <sheetFormatPr defaultRowHeight="15" x14ac:dyDescent="0.25"/>
  <cols>
    <col min="1" max="1" width="12.7109375" customWidth="1"/>
    <col min="2" max="2" width="16.7109375" customWidth="1"/>
    <col min="3" max="3" width="13.5703125" customWidth="1"/>
    <col min="4" max="4" width="13.42578125" customWidth="1"/>
    <col min="5" max="5" width="21.140625" customWidth="1"/>
    <col min="6" max="6" width="14.42578125" customWidth="1"/>
    <col min="7" max="7" width="18.5703125" customWidth="1"/>
    <col min="8" max="8" width="19.140625" customWidth="1"/>
    <col min="9" max="9" width="15.85546875" style="3" customWidth="1"/>
    <col min="10" max="10" width="13.140625" style="4" customWidth="1"/>
    <col min="11" max="11" width="16.140625" customWidth="1"/>
  </cols>
  <sheetData>
    <row r="1" spans="1:12" x14ac:dyDescent="0.25">
      <c r="A1" t="s">
        <v>12</v>
      </c>
      <c r="B1" t="s">
        <v>25</v>
      </c>
      <c r="C1" t="s">
        <v>26</v>
      </c>
      <c r="D1" t="s">
        <v>15</v>
      </c>
      <c r="E1" t="s">
        <v>27</v>
      </c>
      <c r="F1" t="s">
        <v>8</v>
      </c>
      <c r="G1" t="s">
        <v>10</v>
      </c>
      <c r="H1" t="s">
        <v>9</v>
      </c>
      <c r="I1" s="3" t="s">
        <v>28</v>
      </c>
      <c r="J1" s="4" t="s">
        <v>11</v>
      </c>
      <c r="K1" t="s">
        <v>14</v>
      </c>
      <c r="L1" t="s">
        <v>7</v>
      </c>
    </row>
    <row r="2" spans="1:12" x14ac:dyDescent="0.25">
      <c r="B2" t="s">
        <v>29</v>
      </c>
    </row>
    <row r="3" spans="1:12" x14ac:dyDescent="0.25">
      <c r="A3" t="str">
        <f>IF(B3="","",TEXT(ROW()-1,"0000" ))</f>
        <v/>
      </c>
    </row>
  </sheetData>
  <dataValidations count="3">
    <dataValidation type="list" allowBlank="1" showInputMessage="1" showErrorMessage="1" sqref="L1:L1048576" xr:uid="{3C3B217F-08E7-4B5D-9373-C97A673878C6}">
      <formula1>"Новый, Ожидает оплаты, Оплачен, Собран, Доставляетсья, Доставлен, Отменён"</formula1>
    </dataValidation>
    <dataValidation type="list" allowBlank="1" showInputMessage="1" showErrorMessage="1" sqref="F1:F1048576" xr:uid="{C9242E7D-3CD7-46E9-B37E-BE2D44EE8BD0}">
      <formula1>"Самовызов, Доставка"</formula1>
    </dataValidation>
    <dataValidation type="list" allowBlank="1" showInputMessage="1" showErrorMessage="1" sqref="H1:H1048576" xr:uid="{B03C79A6-10B9-459F-935E-90D8DB441FF6}">
      <formula1>"Не оплачено, Перевод, Наличные, Другое"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6345-09D4-4E14-A3B6-DDDB21DCFA64}">
  <dimension ref="A1:C1"/>
  <sheetViews>
    <sheetView workbookViewId="0">
      <selection activeCell="A3" sqref="A3"/>
    </sheetView>
  </sheetViews>
  <sheetFormatPr defaultRowHeight="15" x14ac:dyDescent="0.25"/>
  <cols>
    <col min="1" max="1" width="15.42578125" customWidth="1"/>
    <col min="2" max="2" width="13.28515625" customWidth="1"/>
    <col min="3" max="3" width="15.140625" style="2" customWidth="1"/>
    <col min="4" max="4" width="12" customWidth="1"/>
  </cols>
  <sheetData>
    <row r="1" spans="1:3" x14ac:dyDescent="0.25">
      <c r="A1" t="s">
        <v>30</v>
      </c>
      <c r="B1" t="s">
        <v>13</v>
      </c>
      <c r="C1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A20F-00FA-443B-8197-1658960294CB}">
  <dimension ref="A1:A3"/>
  <sheetViews>
    <sheetView workbookViewId="0">
      <selection activeCell="D34" sqref="D34"/>
    </sheetView>
  </sheetViews>
  <sheetFormatPr defaultRowHeight="15" x14ac:dyDescent="0.25"/>
  <cols>
    <col min="1" max="1" width="21.85546875" customWidth="1"/>
  </cols>
  <sheetData>
    <row r="1" spans="1:1" x14ac:dyDescent="0.25">
      <c r="A1" t="s">
        <v>23</v>
      </c>
    </row>
    <row r="3" spans="1:1" ht="63.75" customHeight="1" x14ac:dyDescent="0.25">
      <c r="A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ТОВАРЫ</vt:lpstr>
      <vt:lpstr>ЗАКАЗЫ</vt:lpstr>
      <vt:lpstr>СОСТАВ ЗАКАЗОВ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Mellotriangle Осипов</dc:creator>
  <cp:lastModifiedBy>Mellotriangle Осипов</cp:lastModifiedBy>
  <dcterms:created xsi:type="dcterms:W3CDTF">2026-08-10T08:07:46Z</dcterms:created>
  <dcterms:modified xsi:type="dcterms:W3CDTF">2026-08-11T13:29:41Z</dcterms:modified>
</cp:coreProperties>
</file>